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NEHA BABU CHOUGULE\Downloads\"/>
    </mc:Choice>
  </mc:AlternateContent>
  <xr:revisionPtr revIDLastSave="0" documentId="13_ncr:1_{1C463D0E-1A32-42FC-8E6A-66D645DC94B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B6" i="18" a="1"/>
  <c r="B6" i="18" s="1"/>
  <c r="B7" i="18" a="1"/>
  <c r="B7" i="18" s="1"/>
  <c r="B8" i="18" a="1"/>
  <c r="B8" i="18" s="1"/>
  <c r="B9" i="18" a="1"/>
  <c r="B9" i="18" s="1"/>
  <c r="B10" i="18" a="1"/>
  <c r="B10" i="18" s="1"/>
  <c r="B11" i="18" a="1"/>
  <c r="B11" i="18" s="1"/>
  <c r="B12" i="18" a="1"/>
  <c r="B12" i="18" s="1"/>
  <c r="B13" i="18" a="1"/>
  <c r="B13" i="18" s="1"/>
  <c r="B14" i="18" a="1"/>
  <c r="B14" i="18" s="1"/>
  <c r="B15" i="18" a="1"/>
  <c r="B15" i="18" s="1"/>
  <c r="B16" i="18" a="1"/>
  <c r="B16" i="18" s="1"/>
  <c r="B17" i="18" a="1"/>
  <c r="B17" i="18" s="1"/>
  <c r="B18" i="18" a="1"/>
  <c r="B18" i="18" s="1"/>
  <c r="B19" i="18" a="1"/>
  <c r="B19" i="18" s="1"/>
  <c r="B20" i="18" a="1"/>
  <c r="B20" i="18" s="1"/>
  <c r="B21" i="18" a="1"/>
  <c r="B21" i="18" s="1"/>
  <c r="B22" i="18" a="1"/>
  <c r="B22" i="18" s="1"/>
  <c r="B23" i="18" a="1"/>
  <c r="B23" i="18" s="1"/>
  <c r="B24" i="18" a="1"/>
  <c r="B24" i="18" s="1"/>
  <c r="B25" i="18" a="1"/>
  <c r="B25" i="18" s="1"/>
  <c r="B26" i="18" a="1"/>
  <c r="B26" i="18" s="1"/>
  <c r="B27" i="18" a="1"/>
  <c r="B27" i="18" s="1"/>
  <c r="H42" i="1"/>
  <c r="C22" i="19" a="1"/>
  <c r="C22" i="19" s="1"/>
  <c r="H41" i="1"/>
  <c r="C4" i="20"/>
  <c r="B6" i="19"/>
  <c r="D5" i="15"/>
  <c r="B29" i="18" l="1"/>
  <c r="B28" i="18"/>
  <c r="B30" i="18"/>
  <c r="C28" i="18" l="1"/>
  <c r="C30" i="18"/>
  <c r="C29" i="18"/>
  <c r="D28" i="18" l="1"/>
  <c r="D30" i="18"/>
  <c r="D29" i="18"/>
  <c r="E28" i="18" l="1"/>
  <c r="E30" i="18"/>
  <c r="E29" i="18"/>
  <c r="F29" i="18" l="1"/>
  <c r="F28" i="18"/>
  <c r="F30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<sst xmlns="http://schemas.openxmlformats.org/spreadsheetml/2006/main" count="412" uniqueCount="189">
  <si>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</si>
  <si>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</si>
  <si>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</si>
  <si>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</si>
  <si>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</si>
  <si>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</si>
  <si>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</si>
  <si>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</si>
  <si>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</si>
  <si>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</si>
  <si>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</si>
  <si>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</si>
  <si>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</si>
  <si>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</si>
  <si>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</si>
  <si>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</si>
  <si>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</si>
  <si>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</si>
  <si>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</si>
  <si>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</si>
  <si>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</si>
  <si>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</si>
  <si>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</si>
  <si>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</si>
  <si>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</si>
  <si>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</si>
  <si>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</si>
  <si>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</si>
  <si>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</si>
  <si>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</si>
  <si>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</si>
  <si>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</si>
  <si>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</si>
  <si>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</si>
  <si>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</si>
  <si>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</si>
  <si>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</si>
  <si>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</si>
  <si>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</si>
  <si>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</si>
  <si>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</si>
  <si>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</si>
  <si>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</si>
  <si>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</si>
  <si>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</si>
  <si>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</si>
  <si>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</si>
  <si>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</si>
  <si>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</si>
  <si>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</si>
  <si>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</si>
  <si>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</si>
  <si>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</si>
  <si>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</si>
  <si>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</si>
  <si>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</si>
  <si>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</si>
  <si>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</si>
  <si>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</si>
  <si>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</si>
  <si>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</si>
  <si>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</si>
  <si>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</si>
  <si>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</si>
  <si>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</si>
  <si>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</si>
  <si>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</si>
  <si>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</si>
  <si>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</si>
  <si>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</si>
  <si>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</si>
  <si>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</si>
  <si>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</si>
  <si>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</si>
  <si>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</si>
  <si>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</si>
  <si>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</si>
  <si>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</si>
  <si>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</si>
  <si>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</si>
  <si>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</si>
  <si>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</si>
  <si>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</si>
  <si>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</si>
  <si>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</si>
  <si>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</si>
  <si>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</si>
  <si>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</si>
  <si>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</si>
  <si>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</si>
  <si>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</si>
  <si>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</si>
  <si>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</si>
  <si>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</si>
  <si>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</si>
  <si>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</si>
  <si>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</si>
  <si>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</si>
  <si>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</si>
  <si>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</si>
  <si>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</si>
  <si>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</si>
  <si>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</si>
  <si>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</si>
  <si>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</si>
  <si>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</si>
  <si>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</si>
  <si>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</si>
  <si>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</si>
  <si>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</si>
  <si>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</si>
  <si>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</si>
  <si>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</si>
  <si>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</si>
  <si>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</si>
  <si>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</si>
  <si>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</si>
  <si>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</si>
  <si>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</si>
  <si>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</si>
  <si>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</si>
  <si>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</si>
  <si>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</si>
  <si>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</si>
  <si>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</si>
  <si>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</si>
  <si>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</si>
  <si>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</si>
  <si>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</si>
  <si>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</si>
  <si>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</si>
  <si>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</si>
  <si>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</si>
  <si>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</si>
  <si>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</si>
  <si>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</si>
  <si>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</si>
  <si>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</si>
  <si>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</si>
  <si>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</si>
  <si>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</si>
  <si>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</si>
  <si>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</si>
  <si>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</si>
  <si>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</si>
  <si>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</si>
  <si>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</si>
  <si>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</si>
  <si>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</si>
  <si>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</si>
  <si>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</si>
  <si>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</si>
  <si>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</si>
  <si>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</si>
  <si>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</si>
  <si>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</si>
  <si>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</si>
  <si>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</si>
  <si>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</si>
  <si>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</si>
  <si>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</si>
  <si>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</si>
  <si>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</si>
  <si>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</si>
  <si>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</si>
  <si>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</si>
  <si>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</si>
  <si>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</si>
  <si>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</si>
  <si>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</si>
  <si>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</si>
  <si>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</si>
  <si>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</si>
  <si>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</si>
  <si>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</si>
  <si>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</si>
  <si>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</si>
  <si>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</si>
  <si>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1. Select the cell containing the value "20000-Monday-0-Sunday-24".</t>
  </si>
  <si>
    <t>2. Go to the "Data" tab in the Excel ribbon.</t>
  </si>
  <si>
    <t>3. Click on the "Text to Columns" button in the "Data Tools" group.</t>
  </si>
  <si>
    <t>4. In the "Convert Text to Columns Wizard" dialog box, select the "Delimited" option and click on the "Next" button.</t>
  </si>
  <si>
    <t>5. In the next step, make sure that only the "Other" checkbox is selected.</t>
  </si>
  <si>
    <t>6. In the "Other" field, type the hyphen "-" character.</t>
  </si>
  <si>
    <t xml:space="preserve">7. In the final step, you can choose the destination cell for the first column of the split values. </t>
  </si>
  <si>
    <t xml:space="preserve">split by delimeter </t>
  </si>
  <si>
    <t>ISNUMBER Function checks whether each value is numeric or not. If it is numeric, it uses the value itself,else it will substitute 20</t>
  </si>
  <si>
    <t>step2. use VLOOKUP formula used for name_1 as a lookup value for main Vlookup formula and VLOOKUP formula used for name_2 as COLUMNINDEX with MATCH Formula in main Vlookup formula.</t>
  </si>
  <si>
    <t>step1. check for name_1 and name_2  in TABLE B Using VLOOKUP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</si>
</sst>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  <font>
      <sz val="8"/>
      <color rgb="FF333333"/>
      <name val="Arial"/>
      <family val="2"/>
    </font>
    <font>
      <sz val="10"/>
      <color rgb="FF333333"/>
      <name val="Consolas"/>
      <family val="3"/>
    </font>
    <font>
      <sz val="8"/>
      <color rgb="FFD4D4D4"/>
      <name val="Consolas"/>
      <family val="3"/>
    </font>
    <font>
      <b/>
      <sz val="11"/>
      <color theme="1" tint="0.3499862666707357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/>
    <xf numFmtId="166" fontId="3" fillId="0" borderId="0" xfId="0" applyNumberFormat="1" applyFont="1"/>
    <xf numFmtId="0" fontId="19" fillId="0" borderId="0" xfId="0" applyFont="1" applyAlignment="1">
      <alignment horizontal="left" vertical="center" wrapText="1" indent="1"/>
    </xf>
    <xf numFmtId="0" fontId="2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975223F-E9C9-4357-8E50-05C507E6DEFA}">
  <we:reference id="wa200006009" version="1.0.1.6" store="en-US" storeType="OMEX"/>
  <we:alternateReferences>
    <we:reference id="wa200006009" version="1.0.1.6" store="wa200006009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2" zoomScale="17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topLeftCell="Q1" zoomScaleNormal="100" workbookViewId="0">
      <pane ySplit="1" topLeftCell="A21" activePane="bottomLeft" state="frozen"/>
      <selection activeCell="P1" sqref="P1"/>
      <selection pane="bottomLeft" activeCell="U32" sqref="U3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 "&gt;20",H2:H40)</f>
        <v>1473.0000000000002</v>
      </c>
    </row>
    <row r="42" spans="1:24" x14ac:dyDescent="0.3">
      <c r="H42" s="45">
        <f>SUMIF(H2:H40, "&gt;20",H2:H40)</f>
        <v>1473.0000000000002</v>
      </c>
    </row>
    <row r="44" spans="1:24" x14ac:dyDescent="0.3">
      <c r="D44" s="1"/>
      <c r="F44" s="1"/>
    </row>
  </sheetData>
  <conditionalFormatting sqref="A1:A1048576 B44:W44">
    <cfRule type="duplicateValues" dxfId="4" priority="5"/>
  </conditionalFormatting>
  <conditionalFormatting sqref="B1:B43 B45:B1048576">
    <cfRule type="duplicateValues" dxfId="3" priority="4"/>
  </conditionalFormatting>
  <conditionalFormatting sqref="G2:X40">
    <cfRule type="cellIs" dxfId="2" priority="1" operator="equal">
      <formula>0</formula>
    </cfRule>
    <cfRule type="cellIs" dxfId="1" priority="3" operator="equal">
      <formula>-1</formula>
    </cfRule>
  </conditionalFormatting>
  <conditionalFormatting sqref="J2:X40"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="124"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4.8867187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D5" s="1" t="str">
        <f ca="1">_xlfn.FORMULATEXT(Dataset!$H$41)</f>
        <v>=SUMIF(H2:H40, "&gt;20",H2:H40)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cm="1">
        <f t="array" ref="B6:F6">VLOOKUP(A6,Dataset!$A$1:$W$40,MATCH($B$5:$F$5,Dataset!$A$1:$X$1,0),0)</f>
        <v>2.7</v>
      </c>
      <c r="C6" s="12">
        <v>7.6</v>
      </c>
      <c r="D6" s="12">
        <v>4.2</v>
      </c>
      <c r="E6" s="12">
        <v>8.9</v>
      </c>
      <c r="F6" s="12">
        <v>4.2</v>
      </c>
    </row>
    <row r="7" spans="1:7" ht="14.4" x14ac:dyDescent="0.3">
      <c r="A7" s="7" t="s">
        <v>4</v>
      </c>
      <c r="B7" s="12" cm="1">
        <f t="array" ref="B7:F7">VLOOKUP(A7,Dataset!$A$1:$W$40,MATCH($B$5:$F$5,Dataset!$A$1:$X$1,0),0)</f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 s="12" cm="1">
        <f t="array" ref="B8:F8">VLOOKUP(A8,Dataset!$A$1:$W$40,MATCH($B$5:$F$5,Dataset!$A$1:$X$1,0),0)</f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 s="12" cm="1">
        <f t="array" ref="B9:F9">VLOOKUP(A9,Dataset!$A$1:$W$40,MATCH($B$5:$F$5,Dataset!$A$1:$X$1,0),0)</f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 s="12" cm="1">
        <f t="array" ref="B10:F10">VLOOKUP(A10,Dataset!$A$1:$W$40,MATCH($B$5:$F$5,Dataset!$A$1:$X$1,0),0)</f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 s="12" cm="1">
        <f t="array" ref="B11:F11">VLOOKUP(A11,Dataset!$A$1:$W$40,MATCH($B$5:$F$5,Dataset!$A$1:$X$1,0),0)</f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 s="12" cm="1">
        <f t="array" ref="B12:F12">VLOOKUP(A12,Dataset!$A$1:$W$40,MATCH($B$5:$F$5,Dataset!$A$1:$X$1,0),0)</f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 cm="1">
        <f t="array" ref="B13:F13">VLOOKUP(A13,Dataset!$A$1:$W$40,MATCH($B$5:$F$5,Dataset!$A$1:$X$1,0),0)</f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 cm="1">
        <f t="array" ref="B14:F14">VLOOKUP(A14,Dataset!$A$1:$W$40,MATCH($B$5:$F$5,Dataset!$A$1:$X$1,0),0)</f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 cm="1">
        <f t="array" ref="B15:F15">VLOOKUP(A15,Dataset!$A$1:$W$40,MATCH($B$5:$F$5,Dataset!$A$1:$X$1,0),0)</f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 cm="1">
        <f t="array" ref="B16:F16">VLOOKUP(A16,Dataset!$A$1:$W$40,MATCH($B$5:$F$5,Dataset!$A$1:$X$1,0),0)</f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 cm="1">
        <f t="array" ref="B17:F17">VLOOKUP(A17,Dataset!$A$1:$W$40,MATCH($B$5:$F$5,Dataset!$A$1:$X$1,0),0)</f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 cm="1">
        <f t="array" ref="B18:F18">VLOOKUP(A18,Dataset!$A$1:$W$40,MATCH($B$5:$F$5,Dataset!$A$1:$X$1,0),0)</f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 cm="1">
        <f t="array" ref="B19:F19">VLOOKUP(A19,Dataset!$A$1:$W$40,MATCH($B$5:$F$5,Dataset!$A$1:$X$1,0),0)</f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 cm="1">
        <f t="array" ref="B20:F20">VLOOKUP(A20,Dataset!$A$1:$W$40,MATCH($B$5:$F$5,Dataset!$A$1:$X$1,0),0)</f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 cm="1">
        <f t="array" ref="B21:F21">VLOOKUP(A21,Dataset!$A$1:$W$40,MATCH($B$5:$F$5,Dataset!$A$1:$X$1,0),0)</f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 cm="1">
        <f t="array" ref="B22:F22">VLOOKUP(A22,Dataset!$A$1:$W$40,MATCH($B$5:$F$5,Dataset!$A$1:$X$1,0),0)</f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 cm="1">
        <f t="array" ref="B23:F23">VLOOKUP(A23,Dataset!$A$1:$W$40,MATCH($B$5:$F$5,Dataset!$A$1:$X$1,0),0)</f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 cm="1">
        <f t="array" ref="B24:F24">VLOOKUP(A24,Dataset!$A$1:$W$40,MATCH($B$5:$F$5,Dataset!$A$1:$X$1,0),0)</f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 cm="1">
        <f t="array" ref="B25:F25">VLOOKUP(A25,Dataset!$A$1:$W$40,MATCH($B$5:$F$5,Dataset!$A$1:$X$1,0),0)</f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 cm="1">
        <f t="array" ref="B26:F26">VLOOKUP(A26,Dataset!$A$1:$W$40,MATCH($B$5:$F$5,Dataset!$A$1:$X$1,0),0)</f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 cm="1">
        <f t="array" ref="B27:F27">VLOOKUP(A27,Dataset!$A$1:$W$40,MATCH($B$5:$F$5,Dataset!$A$1:$X$1,0),0)</f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G28" sqref="G2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1" t="s">
        <v>185</v>
      </c>
    </row>
    <row r="6" spans="1:10" ht="112.2" x14ac:dyDescent="0.35">
      <c r="A6" s="43" t="s">
        <v>154</v>
      </c>
      <c r="B6" s="47" t="s">
        <v>178</v>
      </c>
      <c r="C6" s="47" t="s">
        <v>179</v>
      </c>
      <c r="D6" s="47" t="s">
        <v>180</v>
      </c>
      <c r="E6" s="47" t="s">
        <v>181</v>
      </c>
      <c r="F6" s="47" t="s">
        <v>182</v>
      </c>
      <c r="G6" s="47" t="s">
        <v>183</v>
      </c>
      <c r="H6" s="47" t="s">
        <v>184</v>
      </c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  <c r="G16" s="48"/>
      <c r="H16" s="48"/>
      <c r="I16" s="48"/>
      <c r="J16" s="48"/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zoomScaleNormal="100" workbookViewId="0">
      <selection activeCell="E18" sqref="E1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tr">
        <f ca="1">_xlfn.FORMULATEXT(C22)</f>
        <v>=SUM(IF(ISNUMBER(C12:C21),C12:C21,20))</v>
      </c>
    </row>
    <row r="7" spans="1:3" ht="14.4" x14ac:dyDescent="0.3">
      <c r="A7" s="3" t="s">
        <v>154</v>
      </c>
      <c r="B7" s="1" t="s">
        <v>186</v>
      </c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6" ht="14.4" x14ac:dyDescent="0.3">
      <c r="A17" s="32">
        <v>44932</v>
      </c>
      <c r="B17" s="17" t="s">
        <v>155</v>
      </c>
      <c r="C17" s="17">
        <v>150</v>
      </c>
    </row>
    <row r="18" spans="1:6" ht="14.4" x14ac:dyDescent="0.3">
      <c r="A18" s="32">
        <v>44933</v>
      </c>
      <c r="B18" s="17" t="s">
        <v>156</v>
      </c>
      <c r="C18" s="17">
        <v>80</v>
      </c>
    </row>
    <row r="19" spans="1:6" ht="14.4" x14ac:dyDescent="0.3">
      <c r="A19" s="32">
        <v>44934</v>
      </c>
      <c r="B19" s="17" t="s">
        <v>157</v>
      </c>
      <c r="C19" s="17" t="e">
        <v>#N/A</v>
      </c>
      <c r="F19" s="49"/>
    </row>
    <row r="20" spans="1:6" ht="14.4" x14ac:dyDescent="0.3">
      <c r="A20" s="32">
        <v>44935</v>
      </c>
      <c r="B20" s="17" t="s">
        <v>158</v>
      </c>
      <c r="C20" s="17">
        <v>30</v>
      </c>
    </row>
    <row r="21" spans="1:6" ht="14.4" x14ac:dyDescent="0.3">
      <c r="A21" s="32">
        <v>44936</v>
      </c>
      <c r="B21" s="17" t="s">
        <v>159</v>
      </c>
      <c r="C21" s="17" t="e">
        <v>#N/A</v>
      </c>
    </row>
    <row r="22" spans="1:6" ht="14.4" x14ac:dyDescent="0.3">
      <c r="B22" s="17" t="s">
        <v>160</v>
      </c>
      <c r="C22" s="50" cm="1">
        <f t="array" ref="C22">SUM(IF(ISNUMBER(C12:C21),C12:C21,20))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6" zoomScaleNormal="100" workbookViewId="0">
      <selection activeCell="F21" sqref="F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  <c r="C4" s="2" t="str">
        <f ca="1">_xlfn.FORMULATEXT(C23)</f>
        <v>=VLOOKUP(VLOOKUP(A23,$M$10:$N$18,2,0),$A$9:$J$18,MATCH(VLOOKUP(B23,$M$10:$N$18,2,0),$A$9:$J$9,0),0)</v>
      </c>
    </row>
    <row r="5" spans="1:14" ht="18" x14ac:dyDescent="0.35">
      <c r="A5" s="43" t="s">
        <v>154</v>
      </c>
      <c r="B5" s="1" t="s">
        <v>188</v>
      </c>
    </row>
    <row r="6" spans="1:14" ht="14.4" x14ac:dyDescent="0.3">
      <c r="A6" s="3"/>
      <c r="B6" s="1" t="s">
        <v>187</v>
      </c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VLOOKUP(VLOOKUP(A23,$M$10:$N$18,2,0),$A$9:$J$18,MATCH(VLOOKUP(B23,$M$10:$N$18,2,0),$A$9:$J$9,0),0)</f>
        <v>95</v>
      </c>
      <c r="D23" s="48"/>
      <c r="I23" s="45"/>
    </row>
    <row r="24" spans="1:14" ht="14.4" x14ac:dyDescent="0.3">
      <c r="A24" s="7">
        <v>10100</v>
      </c>
      <c r="B24" s="12">
        <v>10104</v>
      </c>
      <c r="C24" s="44">
        <f t="shared" ref="C24:C35" si="0">VLOOKUP(VLOOKUP(A24,$M$10:$N$18,2,0),$A$9:$J$18,MATCH(VLOOKUP(B24,$M$10:$N$18,2,0),$A$9:$J$9,0),0)</f>
        <v>-1</v>
      </c>
      <c r="D24" s="48"/>
      <c r="I24" s="45"/>
    </row>
    <row r="25" spans="1:14" ht="14.4" x14ac:dyDescent="0.3">
      <c r="A25" s="7">
        <v>10108</v>
      </c>
      <c r="B25" s="12">
        <v>10102</v>
      </c>
      <c r="C25" s="44">
        <f t="shared" si="0"/>
        <v>160</v>
      </c>
      <c r="D25" s="48"/>
      <c r="I25" s="45"/>
    </row>
    <row r="26" spans="1:14" ht="14.4" x14ac:dyDescent="0.3">
      <c r="A26" s="7">
        <v>10100</v>
      </c>
      <c r="B26" s="12">
        <v>10106</v>
      </c>
      <c r="C26" s="44">
        <f t="shared" si="0"/>
        <v>185</v>
      </c>
      <c r="D26" s="48"/>
      <c r="I26" s="45"/>
    </row>
    <row r="27" spans="1:14" ht="14.4" x14ac:dyDescent="0.3">
      <c r="A27" s="7">
        <v>10108</v>
      </c>
      <c r="B27" s="12">
        <v>10110</v>
      </c>
      <c r="C27" s="44">
        <f t="shared" si="0"/>
        <v>50</v>
      </c>
      <c r="D27" s="48"/>
      <c r="I27" s="45"/>
    </row>
    <row r="28" spans="1:14" ht="14.4" x14ac:dyDescent="0.3">
      <c r="A28" s="7">
        <v>10102</v>
      </c>
      <c r="B28" s="12">
        <v>10104</v>
      </c>
      <c r="C28" s="44">
        <f t="shared" si="0"/>
        <v>-1</v>
      </c>
      <c r="D28" s="48"/>
      <c r="I28" s="45"/>
    </row>
    <row r="29" spans="1:14" ht="14.4" x14ac:dyDescent="0.3">
      <c r="A29" s="7">
        <v>10106</v>
      </c>
      <c r="B29" s="12">
        <v>10108</v>
      </c>
      <c r="C29" s="44">
        <f t="shared" si="0"/>
        <v>70</v>
      </c>
      <c r="D29" s="48"/>
      <c r="I29" s="45"/>
    </row>
    <row r="30" spans="1:14" ht="14.4" x14ac:dyDescent="0.3">
      <c r="A30" s="7">
        <v>10102</v>
      </c>
      <c r="B30" s="12">
        <v>10106</v>
      </c>
      <c r="C30" s="44">
        <f t="shared" si="0"/>
        <v>90</v>
      </c>
      <c r="D30" s="48"/>
      <c r="I30" s="45"/>
    </row>
    <row r="31" spans="1:14" ht="14.4" x14ac:dyDescent="0.3">
      <c r="A31" s="7">
        <v>10110</v>
      </c>
      <c r="B31" s="12">
        <v>10114</v>
      </c>
      <c r="C31" s="44">
        <f t="shared" si="0"/>
        <v>180</v>
      </c>
      <c r="D31" s="48"/>
      <c r="I31" s="45"/>
    </row>
    <row r="32" spans="1:14" ht="14.4" x14ac:dyDescent="0.3">
      <c r="A32" s="7">
        <v>10104</v>
      </c>
      <c r="B32" s="12">
        <v>10106</v>
      </c>
      <c r="C32" s="44">
        <f t="shared" si="0"/>
        <v>60</v>
      </c>
      <c r="D32" s="48"/>
      <c r="I32" s="45"/>
    </row>
    <row r="33" spans="1:9" ht="14.4" x14ac:dyDescent="0.3">
      <c r="A33" s="7">
        <v>10110</v>
      </c>
      <c r="B33" s="12">
        <v>10112</v>
      </c>
      <c r="C33" s="44">
        <f t="shared" si="0"/>
        <v>115</v>
      </c>
      <c r="D33" s="48"/>
      <c r="I33" s="45"/>
    </row>
    <row r="34" spans="1:9" ht="14.4" x14ac:dyDescent="0.3">
      <c r="A34" s="7">
        <v>10100</v>
      </c>
      <c r="B34" s="12">
        <v>10114</v>
      </c>
      <c r="C34" s="44">
        <f t="shared" si="0"/>
        <v>480</v>
      </c>
      <c r="D34" s="48"/>
      <c r="I34" s="45"/>
    </row>
    <row r="35" spans="1:9" ht="14.4" x14ac:dyDescent="0.3">
      <c r="A35" s="9">
        <v>10112</v>
      </c>
      <c r="B35" s="13">
        <v>10116</v>
      </c>
      <c r="C35" s="44">
        <f t="shared" si="0"/>
        <v>105</v>
      </c>
      <c r="D35" s="48"/>
      <c r="I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Sneha Chougule</cp:lastModifiedBy>
  <dcterms:created xsi:type="dcterms:W3CDTF">2015-02-10T17:33:11Z</dcterms:created>
  <dcterms:modified xsi:type="dcterms:W3CDTF">2023-12-09T06:10:05Z</dcterms:modified>
</cp:coreProperties>
</file>